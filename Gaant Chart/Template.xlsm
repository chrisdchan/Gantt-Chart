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chris\source\repos\Gaant-Chart\Gaant Chart\"/>
    </mc:Choice>
  </mc:AlternateContent>
  <xr:revisionPtr revIDLastSave="0" documentId="8_{A5732168-8A18-40F4-8D49-213022849A27}" xr6:coauthVersionLast="47" xr6:coauthVersionMax="47" xr10:uidLastSave="{00000000-0000-0000-0000-000000000000}"/>
  <bookViews>
    <workbookView xWindow="4245" yWindow="780" windowWidth="28800" windowHeight="13635" xr2:uid="{00000000-000D-0000-FFFF-FFFF00000000}"/>
  </bookViews>
  <sheets>
    <sheet name="Plan Modeling Tracker" sheetId="11" r:id="rId1"/>
    <sheet name="Names" sheetId="13" r:id="rId2"/>
  </sheets>
  <definedNames>
    <definedName name="_xlnm.Print_Area" localSheetId="0">'Plan Modeling Tracker'!$A$1:$L$27</definedName>
    <definedName name="Project_Start">'Plan Modeling Tracker'!$B$4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9" i="11" l="1"/>
  <c r="F9" i="11"/>
  <c r="J22" i="11"/>
  <c r="H22" i="11"/>
  <c r="H9" i="11"/>
  <c r="H25" i="11"/>
  <c r="H24" i="11"/>
  <c r="H21" i="11"/>
  <c r="H19" i="11"/>
  <c r="H18" i="11"/>
  <c r="H17" i="11"/>
  <c r="H16" i="11"/>
  <c r="H15" i="11"/>
  <c r="H13" i="11"/>
  <c r="H12" i="11"/>
  <c r="H11" i="11"/>
  <c r="H10" i="11"/>
  <c r="E8" i="11"/>
  <c r="J24" i="11"/>
  <c r="J25" i="11"/>
  <c r="J21" i="11"/>
  <c r="J20" i="11" s="1"/>
  <c r="J17" i="11"/>
  <c r="J18" i="11"/>
  <c r="J19" i="11"/>
  <c r="J16" i="11"/>
  <c r="J15" i="11"/>
  <c r="J13" i="11"/>
  <c r="J12" i="11"/>
  <c r="J11" i="11"/>
  <c r="J10" i="11"/>
  <c r="J23" i="11" l="1"/>
  <c r="J14" i="11"/>
  <c r="F8" i="11" l="1"/>
  <c r="G8" i="11" s="1"/>
  <c r="J9" i="11" l="1"/>
  <c r="J8" i="11" s="1"/>
  <c r="F4" i="11" s="1"/>
  <c r="E10" i="11"/>
  <c r="F10" i="11" s="1"/>
  <c r="E11" i="11" s="1"/>
  <c r="F11" i="11" l="1"/>
  <c r="E12" i="11" s="1"/>
  <c r="F12" i="11" l="1"/>
  <c r="E13" i="11" l="1"/>
  <c r="F13" i="11" s="1"/>
  <c r="E15" i="11" s="1"/>
  <c r="G12" i="11"/>
  <c r="E14" i="11" l="1"/>
  <c r="F14" i="11" s="1"/>
  <c r="G13" i="11"/>
  <c r="G14" i="11" l="1"/>
  <c r="F15" i="11" l="1"/>
  <c r="E16" i="11" s="1"/>
  <c r="F16" i="11" l="1"/>
  <c r="E17" i="11" l="1"/>
  <c r="G16" i="11"/>
  <c r="F17" i="11" l="1"/>
  <c r="E18" i="11" s="1"/>
  <c r="F18" i="11" l="1"/>
  <c r="E19" i="11" s="1"/>
  <c r="F19" i="11" l="1"/>
  <c r="E20" i="11" l="1"/>
  <c r="F20" i="11" s="1"/>
  <c r="E23" i="11" s="1"/>
  <c r="E21" i="11"/>
  <c r="G20" i="11"/>
  <c r="F23" i="11" l="1"/>
  <c r="G23" i="11" s="1"/>
  <c r="F2" i="11" s="1"/>
  <c r="F21" i="11"/>
  <c r="E24" i="11" s="1"/>
  <c r="F24" i="11" l="1"/>
  <c r="E25" i="11" s="1"/>
  <c r="F25" i="11" l="1"/>
</calcChain>
</file>

<file path=xl/sharedStrings.xml><?xml version="1.0" encoding="utf-8"?>
<sst xmlns="http://schemas.openxmlformats.org/spreadsheetml/2006/main" count="101" uniqueCount="74">
  <si>
    <t>PROGRESS</t>
  </si>
  <si>
    <t>ASSIGNED
TO</t>
  </si>
  <si>
    <t>Display Week:</t>
  </si>
  <si>
    <t>TASK</t>
  </si>
  <si>
    <t>Enter Company Name in cell B2.</t>
  </si>
  <si>
    <t>Sample phase title block</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</si>
  <si>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</si>
  <si>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</si>
  <si>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</si>
  <si>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</si>
  <si>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</si>
  <si>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</si>
  <si>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</si>
  <si>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</si>
  <si>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</si>
  <si>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</si>
  <si>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</si>
  <si>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Image Download</t>
  </si>
  <si>
    <t>SPM8 Completion</t>
  </si>
  <si>
    <t>MD Volumes Completion</t>
  </si>
  <si>
    <t>Image Acquisition</t>
  </si>
  <si>
    <t>Fully Segmented</t>
  </si>
  <si>
    <t>Initial Peer Review</t>
  </si>
  <si>
    <t>Segmentation Corrections</t>
  </si>
  <si>
    <t>2nd Peer Review</t>
  </si>
  <si>
    <t>2nd Segmentation Corrections</t>
  </si>
  <si>
    <t>Full Model Approval</t>
  </si>
  <si>
    <t>Model Solved</t>
  </si>
  <si>
    <t>Report Generated</t>
  </si>
  <si>
    <t>EL</t>
  </si>
  <si>
    <t>ETW</t>
  </si>
  <si>
    <t>PS</t>
  </si>
  <si>
    <t>Segmentation Review &amp; Approval</t>
  </si>
  <si>
    <t>No. of Days</t>
  </si>
  <si>
    <t>Mesh Preparation &amp; Export</t>
  </si>
  <si>
    <t>Segmentation</t>
  </si>
  <si>
    <t>Physics Modeling &amp; Reports</t>
  </si>
  <si>
    <t>Planned
START</t>
  </si>
  <si>
    <t>Planned 
END</t>
  </si>
  <si>
    <t>Actual
END Date</t>
  </si>
  <si>
    <t>Model ID</t>
  </si>
  <si>
    <t>Days Elapsed</t>
  </si>
  <si>
    <t>Model Start Date</t>
  </si>
  <si>
    <t>Total Elasped Days:</t>
  </si>
  <si>
    <t>Planned Elasped Days:</t>
  </si>
  <si>
    <t>Name</t>
  </si>
  <si>
    <t>Initials</t>
  </si>
  <si>
    <t>Category</t>
  </si>
  <si>
    <t>Edwin Lok</t>
  </si>
  <si>
    <t>Phys</t>
  </si>
  <si>
    <t>Eric T. Wong</t>
  </si>
  <si>
    <t>MD</t>
  </si>
  <si>
    <t>Pyay San</t>
  </si>
  <si>
    <t>Seg2</t>
  </si>
  <si>
    <t>Matthew Clark</t>
  </si>
  <si>
    <t>MC</t>
  </si>
  <si>
    <t>Olivia Liang</t>
  </si>
  <si>
    <t>OL</t>
  </si>
  <si>
    <t>Vivien Jieng</t>
  </si>
  <si>
    <t>VJ</t>
  </si>
  <si>
    <t>Seg1</t>
  </si>
  <si>
    <t>Sophia Koo</t>
  </si>
  <si>
    <t>SK</t>
  </si>
  <si>
    <t>Victoria White</t>
  </si>
  <si>
    <t>VW</t>
  </si>
  <si>
    <t>Status</t>
  </si>
  <si>
    <t>Active</t>
  </si>
  <si>
    <t>Inactive</t>
  </si>
  <si>
    <t>Alisson Diep</t>
  </si>
  <si>
    <t>AD</t>
  </si>
  <si>
    <t>Actual
START Date</t>
  </si>
  <si>
    <t>Export to Physics</t>
  </si>
  <si>
    <t>Mesh Model</t>
  </si>
  <si>
    <t>CA028.B.C0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</si>
</sst>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m/d/yy;@"/>
    <numFmt numFmtId="165" formatCode="ddd\,\ m/d/yyyy"/>
  </numFmts>
  <fonts count="1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1"/>
      <color theme="0"/>
      <name val="Calibri"/>
      <family val="2"/>
      <scheme val="minor"/>
    </font>
    <font>
      <sz val="11"/>
      <color theme="1"/>
      <name val="Wingdings"/>
      <charset val="2"/>
    </font>
    <font>
      <sz val="12"/>
      <color theme="1"/>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theme="4"/>
      </patternFill>
    </fill>
    <fill>
      <patternFill patternType="solid">
        <fgColor rgb="FF92D050"/>
        <bgColor indexed="64"/>
      </patternFill>
    </fill>
    <fill>
      <patternFill patternType="solid">
        <fgColor theme="9" tint="0.79998168889431442"/>
        <bgColor indexed="64"/>
      </patternFill>
    </fill>
    <fill>
      <patternFill patternType="solid">
        <fgColor rgb="FFC00000"/>
        <bgColor indexed="64"/>
      </patternFill>
    </fill>
    <fill>
      <patternFill patternType="solid">
        <fgColor theme="1"/>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0" tint="-0.499984740745262"/>
        <bgColor indexed="64"/>
      </patternFill>
    </fill>
  </fills>
  <borders count="2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indexed="64"/>
      </left>
      <right style="thin">
        <color indexed="64"/>
      </right>
      <top style="thin">
        <color indexed="64"/>
      </top>
      <bottom style="thin">
        <color indexed="64"/>
      </bottom>
      <diagonal/>
    </border>
    <border>
      <left/>
      <right/>
      <top/>
      <bottom style="medium">
        <color theme="0" tint="-0.14996795556505021"/>
      </bottom>
      <diagonal/>
    </border>
    <border>
      <left/>
      <right/>
      <top style="medium">
        <color theme="0" tint="-0.14996795556505021"/>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theme="0" tint="-0.14996795556505021"/>
      </bottom>
      <diagonal/>
    </border>
    <border>
      <left style="medium">
        <color indexed="64"/>
      </left>
      <right style="medium">
        <color indexed="64"/>
      </right>
      <top style="medium">
        <color theme="0" tint="-0.14996795556505021"/>
      </top>
      <bottom style="medium">
        <color theme="0" tint="-0.14996795556505021"/>
      </bottom>
      <diagonal/>
    </border>
    <border>
      <left style="medium">
        <color indexed="64"/>
      </left>
      <right style="medium">
        <color indexed="64"/>
      </right>
      <top style="medium">
        <color theme="0" tint="-0.14996795556505021"/>
      </top>
      <bottom style="medium">
        <color indexed="64"/>
      </bottom>
      <diagonal/>
    </border>
    <border>
      <left/>
      <right/>
      <top style="medium">
        <color indexed="64"/>
      </top>
      <bottom/>
      <diagonal/>
    </border>
    <border>
      <left/>
      <right style="medium">
        <color indexed="64"/>
      </right>
      <top style="medium">
        <color indexed="64"/>
      </top>
      <bottom style="medium">
        <color theme="0" tint="-0.14996795556505021"/>
      </bottom>
      <diagonal/>
    </border>
    <border>
      <left/>
      <right style="medium">
        <color indexed="64"/>
      </right>
      <top style="medium">
        <color theme="0" tint="-0.14996795556505021"/>
      </top>
      <bottom style="medium">
        <color theme="0" tint="-0.14996795556505021"/>
      </bottom>
      <diagonal/>
    </border>
    <border>
      <left/>
      <right style="medium">
        <color indexed="64"/>
      </right>
      <top style="medium">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medium">
        <color theme="0" tint="-0.14996795556505021"/>
      </top>
      <bottom/>
      <diagonal/>
    </border>
    <border>
      <left/>
      <right style="medium">
        <color indexed="64"/>
      </right>
      <top/>
      <bottom style="medium">
        <color theme="0" tint="-0.14996795556505021"/>
      </bottom>
      <diagonal/>
    </border>
    <border>
      <left style="medium">
        <color indexed="64"/>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12" fillId="0" borderId="0"/>
    <xf numFmtId="43" fontId="7" fillId="0" borderId="3" applyFont="0" applyFill="0" applyAlignment="0" applyProtection="0"/>
    <xf numFmtId="0" fontId="9"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5" fontId="7" fillId="0" borderId="3">
      <alignment horizontal="center" vertical="center"/>
    </xf>
    <xf numFmtId="164" fontId="7" fillId="0" borderId="2" applyFill="0">
      <alignment horizontal="center" vertical="center"/>
    </xf>
    <xf numFmtId="0" fontId="7" fillId="0" borderId="2" applyFill="0">
      <alignment horizontal="center" vertical="center"/>
    </xf>
    <xf numFmtId="0" fontId="7" fillId="0" borderId="2" applyFill="0">
      <alignment horizontal="left" vertical="center" indent="2"/>
    </xf>
  </cellStyleXfs>
  <cellXfs count="127">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6" fillId="7" borderId="1" xfId="0" applyFont="1" applyFill="1" applyBorder="1" applyAlignment="1">
      <alignment horizontal="left" vertical="center" indent="1"/>
    </xf>
    <xf numFmtId="0" fontId="6" fillId="7" borderId="1" xfId="0" applyFont="1" applyFill="1" applyBorder="1" applyAlignment="1">
      <alignment horizontal="center" vertical="center" wrapText="1"/>
    </xf>
    <xf numFmtId="0" fontId="10" fillId="0" borderId="0" xfId="0" applyFont="1"/>
    <xf numFmtId="0" fontId="11" fillId="0" borderId="0" xfId="1" applyFont="1" applyAlignment="1" applyProtection="1"/>
    <xf numFmtId="0" fontId="2" fillId="0" borderId="0" xfId="0" applyFont="1" applyAlignment="1">
      <alignment horizontal="center" vertical="center"/>
    </xf>
    <xf numFmtId="0" fontId="12" fillId="0" borderId="0" xfId="3"/>
    <xf numFmtId="0" fontId="12" fillId="0" borderId="0" xfId="3" applyAlignment="1">
      <alignment wrapText="1"/>
    </xf>
    <xf numFmtId="0" fontId="12" fillId="0" borderId="0" xfId="0" applyFont="1" applyAlignment="1">
      <alignment horizontal="center"/>
    </xf>
    <xf numFmtId="0" fontId="0" fillId="0" borderId="0" xfId="0" applyAlignment="1">
      <alignment wrapText="1"/>
    </xf>
    <xf numFmtId="164" fontId="7" fillId="2" borderId="2" xfId="10" applyFill="1">
      <alignment horizontal="center" vertical="center"/>
    </xf>
    <xf numFmtId="164" fontId="7" fillId="0" borderId="2" xfId="10">
      <alignment horizontal="center" vertical="center"/>
    </xf>
    <xf numFmtId="0" fontId="7" fillId="2" borderId="2" xfId="12" applyFill="1">
      <alignment horizontal="left" vertical="center" indent="2"/>
    </xf>
    <xf numFmtId="0" fontId="7" fillId="0" borderId="2" xfId="12">
      <alignment horizontal="left" vertical="center" indent="2"/>
    </xf>
    <xf numFmtId="0" fontId="7" fillId="9" borderId="2" xfId="12" applyFill="1">
      <alignment horizontal="left" vertical="center" indent="2"/>
    </xf>
    <xf numFmtId="164" fontId="7" fillId="9" borderId="2" xfId="10" applyFill="1">
      <alignment horizontal="center" vertical="center"/>
    </xf>
    <xf numFmtId="1" fontId="4" fillId="2" borderId="2" xfId="0" applyNumberFormat="1" applyFont="1" applyFill="1" applyBorder="1" applyAlignment="1">
      <alignment horizontal="center" vertical="center"/>
    </xf>
    <xf numFmtId="1" fontId="4" fillId="9" borderId="2" xfId="0" applyNumberFormat="1" applyFont="1" applyFill="1" applyBorder="1" applyAlignment="1">
      <alignment horizontal="center" vertical="center"/>
    </xf>
    <xf numFmtId="9" fontId="4" fillId="0" borderId="6" xfId="2" applyFont="1" applyBorder="1" applyAlignment="1">
      <alignment horizontal="center" vertical="center"/>
    </xf>
    <xf numFmtId="0" fontId="7" fillId="4" borderId="0" xfId="11" applyFill="1" applyBorder="1">
      <alignment horizontal="center" vertical="center"/>
    </xf>
    <xf numFmtId="9" fontId="4" fillId="4" borderId="0" xfId="2" applyFont="1" applyFill="1" applyBorder="1" applyAlignment="1">
      <alignment horizontal="center" vertical="center"/>
    </xf>
    <xf numFmtId="1" fontId="0" fillId="0" borderId="5" xfId="0" applyNumberFormat="1" applyBorder="1" applyAlignment="1">
      <alignment horizontal="center" vertical="center"/>
    </xf>
    <xf numFmtId="165" fontId="7" fillId="0" borderId="0" xfId="9" applyBorder="1">
      <alignment horizontal="center" vertical="center"/>
    </xf>
    <xf numFmtId="0" fontId="7" fillId="2" borderId="6" xfId="12" applyFill="1" applyBorder="1">
      <alignment horizontal="left" vertical="center" indent="2"/>
    </xf>
    <xf numFmtId="164" fontId="7" fillId="2" borderId="6" xfId="10" applyFill="1" applyBorder="1">
      <alignment horizontal="center" vertical="center"/>
    </xf>
    <xf numFmtId="0" fontId="5" fillId="3" borderId="10" xfId="0" applyFont="1" applyFill="1" applyBorder="1" applyAlignment="1">
      <alignment horizontal="left" vertical="center" indent="1"/>
    </xf>
    <xf numFmtId="164" fontId="0" fillId="8" borderId="11" xfId="0" applyNumberFormat="1" applyFill="1" applyBorder="1" applyAlignment="1">
      <alignment horizontal="center" vertical="center"/>
    </xf>
    <xf numFmtId="1" fontId="4" fillId="3" borderId="12" xfId="0" applyNumberFormat="1" applyFont="1" applyFill="1" applyBorder="1" applyAlignment="1">
      <alignment horizontal="center" vertical="center"/>
    </xf>
    <xf numFmtId="0" fontId="7" fillId="2" borderId="7" xfId="12" applyFill="1" applyBorder="1">
      <alignment horizontal="left" vertical="center" indent="2"/>
    </xf>
    <xf numFmtId="164" fontId="7" fillId="2" borderId="7" xfId="10" applyFill="1" applyBorder="1">
      <alignment horizontal="center" vertical="center"/>
    </xf>
    <xf numFmtId="1" fontId="4" fillId="2" borderId="7" xfId="0" applyNumberFormat="1" applyFont="1" applyFill="1" applyBorder="1" applyAlignment="1">
      <alignment horizontal="center" vertical="center"/>
    </xf>
    <xf numFmtId="0" fontId="7" fillId="9" borderId="6" xfId="12" applyFill="1" applyBorder="1">
      <alignment horizontal="left" vertical="center" indent="2"/>
    </xf>
    <xf numFmtId="164" fontId="7" fillId="9" borderId="6" xfId="10" applyFill="1" applyBorder="1">
      <alignment horizontal="center" vertical="center"/>
    </xf>
    <xf numFmtId="1" fontId="4" fillId="9" borderId="6" xfId="0" applyNumberFormat="1" applyFont="1" applyFill="1" applyBorder="1" applyAlignment="1">
      <alignment horizontal="center" vertical="center"/>
    </xf>
    <xf numFmtId="0" fontId="5" fillId="4" borderId="10" xfId="0" applyFont="1" applyFill="1" applyBorder="1" applyAlignment="1">
      <alignment horizontal="left" vertical="center" indent="1"/>
    </xf>
    <xf numFmtId="164" fontId="0" fillId="4" borderId="11" xfId="0" applyNumberFormat="1" applyFill="1" applyBorder="1" applyAlignment="1">
      <alignment horizontal="center" vertical="center"/>
    </xf>
    <xf numFmtId="164" fontId="4" fillId="4" borderId="11" xfId="0" applyNumberFormat="1" applyFont="1" applyFill="1" applyBorder="1" applyAlignment="1">
      <alignment horizontal="center" vertical="center"/>
    </xf>
    <xf numFmtId="1" fontId="4" fillId="4" borderId="12" xfId="0" applyNumberFormat="1" applyFont="1" applyFill="1" applyBorder="1" applyAlignment="1">
      <alignment horizontal="center" vertical="center"/>
    </xf>
    <xf numFmtId="0" fontId="7" fillId="9" borderId="7" xfId="12" applyFill="1" applyBorder="1">
      <alignment horizontal="left" vertical="center" indent="2"/>
    </xf>
    <xf numFmtId="164" fontId="7" fillId="9" borderId="7" xfId="10" applyFill="1" applyBorder="1">
      <alignment horizontal="center" vertical="center"/>
    </xf>
    <xf numFmtId="1" fontId="4" fillId="9" borderId="7" xfId="0" applyNumberFormat="1" applyFont="1" applyFill="1" applyBorder="1" applyAlignment="1">
      <alignment horizontal="center" vertical="center"/>
    </xf>
    <xf numFmtId="164" fontId="7" fillId="10" borderId="2" xfId="10" applyFill="1">
      <alignment horizontal="center" vertical="center"/>
    </xf>
    <xf numFmtId="164" fontId="4" fillId="10" borderId="11" xfId="0" applyNumberFormat="1" applyFont="1" applyFill="1" applyBorder="1" applyAlignment="1">
      <alignment horizontal="center" vertical="center"/>
    </xf>
    <xf numFmtId="164" fontId="7" fillId="0" borderId="6" xfId="10" applyBorder="1">
      <alignment horizontal="center" vertical="center"/>
    </xf>
    <xf numFmtId="0" fontId="7" fillId="3" borderId="16" xfId="11" applyFill="1" applyBorder="1">
      <alignment horizontal="center" vertical="center"/>
    </xf>
    <xf numFmtId="9" fontId="4" fillId="3" borderId="16" xfId="2" applyFont="1" applyFill="1" applyBorder="1" applyAlignment="1">
      <alignment horizontal="center" vertical="center"/>
    </xf>
    <xf numFmtId="0" fontId="7" fillId="0" borderId="6" xfId="11" applyBorder="1">
      <alignment horizontal="center" vertical="center"/>
    </xf>
    <xf numFmtId="9" fontId="4" fillId="2" borderId="17" xfId="2" applyFont="1" applyFill="1" applyBorder="1" applyAlignment="1" applyProtection="1">
      <alignment horizontal="center" vertical="center"/>
      <protection locked="0"/>
    </xf>
    <xf numFmtId="9" fontId="4" fillId="2" borderId="18" xfId="2" applyFont="1" applyFill="1" applyBorder="1" applyAlignment="1" applyProtection="1">
      <alignment horizontal="center" vertical="center"/>
      <protection locked="0"/>
    </xf>
    <xf numFmtId="9" fontId="4" fillId="2" borderId="19" xfId="2" applyFont="1" applyFill="1" applyBorder="1" applyAlignment="1" applyProtection="1">
      <alignment horizontal="center" vertical="center"/>
      <protection locked="0"/>
    </xf>
    <xf numFmtId="9" fontId="4" fillId="9" borderId="17" xfId="2" applyFont="1" applyFill="1" applyBorder="1" applyAlignment="1" applyProtection="1">
      <alignment horizontal="center" vertical="center"/>
      <protection locked="0"/>
    </xf>
    <xf numFmtId="9" fontId="4" fillId="9" borderId="18" xfId="2" applyFont="1" applyFill="1" applyBorder="1" applyAlignment="1" applyProtection="1">
      <alignment horizontal="center" vertical="center"/>
      <protection locked="0"/>
    </xf>
    <xf numFmtId="9" fontId="4" fillId="9" borderId="19" xfId="2" applyFont="1" applyFill="1" applyBorder="1" applyAlignment="1" applyProtection="1">
      <alignment horizontal="center" vertical="center"/>
      <protection locked="0"/>
    </xf>
    <xf numFmtId="0" fontId="7" fillId="2" borderId="13" xfId="11" applyFill="1" applyBorder="1" applyProtection="1">
      <alignment horizontal="center" vertical="center"/>
      <protection locked="0"/>
    </xf>
    <xf numFmtId="0" fontId="7" fillId="2" borderId="14" xfId="11" applyFill="1" applyBorder="1" applyProtection="1">
      <alignment horizontal="center" vertical="center"/>
      <protection locked="0"/>
    </xf>
    <xf numFmtId="0" fontId="7" fillId="9" borderId="15" xfId="11" applyFill="1" applyBorder="1" applyProtection="1">
      <alignment horizontal="center" vertical="center"/>
      <protection locked="0"/>
    </xf>
    <xf numFmtId="0" fontId="0" fillId="0" borderId="8" xfId="0" applyBorder="1" applyAlignment="1" applyProtection="1">
      <alignment horizontal="center" vertical="center"/>
      <protection locked="0"/>
    </xf>
    <xf numFmtId="0" fontId="13" fillId="0" borderId="0" xfId="0" applyFont="1"/>
    <xf numFmtId="0" fontId="5" fillId="0" borderId="0" xfId="0" applyFont="1"/>
    <xf numFmtId="1" fontId="4" fillId="2" borderId="6" xfId="0" applyNumberFormat="1" applyFont="1" applyFill="1" applyBorder="1" applyAlignment="1" applyProtection="1">
      <alignment horizontal="center" vertical="center"/>
      <protection locked="0"/>
    </xf>
    <xf numFmtId="1" fontId="4" fillId="9" borderId="6" xfId="0" applyNumberFormat="1" applyFont="1" applyFill="1" applyBorder="1" applyAlignment="1" applyProtection="1">
      <alignment horizontal="center" vertical="center"/>
      <protection locked="0"/>
    </xf>
    <xf numFmtId="1" fontId="4" fillId="5" borderId="6" xfId="0" applyNumberFormat="1" applyFont="1" applyFill="1" applyBorder="1" applyAlignment="1" applyProtection="1">
      <alignment horizontal="center" vertical="center"/>
      <protection locked="0"/>
    </xf>
    <xf numFmtId="1" fontId="4" fillId="3" borderId="0" xfId="0" applyNumberFormat="1" applyFont="1" applyFill="1" applyBorder="1" applyAlignment="1">
      <alignment horizontal="center" vertical="center"/>
    </xf>
    <xf numFmtId="1" fontId="4" fillId="6" borderId="6" xfId="0" applyNumberFormat="1" applyFont="1" applyFill="1" applyBorder="1" applyAlignment="1" applyProtection="1">
      <alignment horizontal="center" vertical="center"/>
      <protection locked="0"/>
    </xf>
    <xf numFmtId="0" fontId="14" fillId="0" borderId="0" xfId="7" applyFont="1" applyAlignment="1"/>
    <xf numFmtId="165" fontId="7" fillId="0" borderId="0" xfId="9" applyFill="1" applyBorder="1" applyAlignment="1">
      <alignment vertical="center"/>
    </xf>
    <xf numFmtId="0" fontId="0" fillId="2" borderId="15" xfId="11" applyFont="1" applyFill="1" applyBorder="1" applyProtection="1">
      <alignment horizontal="center" vertical="center"/>
      <protection locked="0"/>
    </xf>
    <xf numFmtId="0" fontId="0" fillId="9" borderId="13" xfId="11" applyFont="1" applyFill="1" applyBorder="1" applyProtection="1">
      <alignment horizontal="center" vertical="center"/>
      <protection locked="0"/>
    </xf>
    <xf numFmtId="0" fontId="0" fillId="9" borderId="14" xfId="11" applyFont="1" applyFill="1" applyBorder="1" applyProtection="1">
      <alignment horizontal="center" vertical="center"/>
      <protection locked="0"/>
    </xf>
    <xf numFmtId="0" fontId="5" fillId="12" borderId="10" xfId="0" applyFont="1" applyFill="1" applyBorder="1" applyAlignment="1">
      <alignment horizontal="left" vertical="center" indent="1"/>
    </xf>
    <xf numFmtId="0" fontId="7" fillId="12" borderId="0" xfId="11" applyFill="1" applyBorder="1">
      <alignment horizontal="center" vertical="center"/>
    </xf>
    <xf numFmtId="9" fontId="4" fillId="12" borderId="0" xfId="2" applyFont="1" applyFill="1" applyBorder="1" applyAlignment="1">
      <alignment horizontal="center" vertical="center"/>
    </xf>
    <xf numFmtId="164" fontId="0" fillId="12" borderId="11" xfId="0" applyNumberFormat="1" applyFill="1" applyBorder="1" applyAlignment="1">
      <alignment horizontal="center" vertical="center"/>
    </xf>
    <xf numFmtId="164" fontId="4" fillId="12" borderId="11" xfId="0" applyNumberFormat="1" applyFont="1" applyFill="1" applyBorder="1" applyAlignment="1">
      <alignment horizontal="center" vertical="center"/>
    </xf>
    <xf numFmtId="1" fontId="4" fillId="12" borderId="12" xfId="0" applyNumberFormat="1" applyFont="1" applyFill="1" applyBorder="1" applyAlignment="1">
      <alignment horizontal="center" vertical="center"/>
    </xf>
    <xf numFmtId="1" fontId="4" fillId="12" borderId="0" xfId="0" applyNumberFormat="1" applyFont="1" applyFill="1" applyBorder="1" applyAlignment="1">
      <alignment horizontal="center" vertical="center"/>
    </xf>
    <xf numFmtId="0" fontId="7" fillId="5" borderId="0" xfId="12" applyFill="1" applyBorder="1">
      <alignment horizontal="left" vertical="center" indent="2"/>
    </xf>
    <xf numFmtId="164" fontId="7" fillId="5" borderId="0" xfId="10" applyFill="1" applyBorder="1">
      <alignment horizontal="center" vertical="center"/>
    </xf>
    <xf numFmtId="1" fontId="4" fillId="5" borderId="0" xfId="0" applyNumberFormat="1" applyFont="1" applyFill="1" applyBorder="1" applyAlignment="1">
      <alignment horizontal="center" vertical="center"/>
    </xf>
    <xf numFmtId="0" fontId="5" fillId="13" borderId="10" xfId="0" applyFont="1" applyFill="1" applyBorder="1" applyAlignment="1">
      <alignment horizontal="left" vertical="center" indent="1"/>
    </xf>
    <xf numFmtId="0" fontId="7" fillId="13" borderId="0" xfId="11" applyFill="1" applyBorder="1">
      <alignment horizontal="center" vertical="center"/>
    </xf>
    <xf numFmtId="9" fontId="4" fillId="13" borderId="0" xfId="2" applyFont="1" applyFill="1" applyBorder="1" applyAlignment="1">
      <alignment horizontal="center" vertical="center"/>
    </xf>
    <xf numFmtId="164" fontId="0" fillId="13" borderId="11" xfId="0" applyNumberFormat="1" applyFill="1" applyBorder="1" applyAlignment="1">
      <alignment horizontal="center" vertical="center"/>
    </xf>
    <xf numFmtId="164" fontId="4" fillId="13" borderId="11" xfId="0" applyNumberFormat="1" applyFont="1" applyFill="1" applyBorder="1" applyAlignment="1">
      <alignment horizontal="center" vertical="center"/>
    </xf>
    <xf numFmtId="1" fontId="4" fillId="13" borderId="12" xfId="0" applyNumberFormat="1" applyFont="1" applyFill="1" applyBorder="1" applyAlignment="1">
      <alignment horizontal="center" vertical="center"/>
    </xf>
    <xf numFmtId="1" fontId="4" fillId="13" borderId="0" xfId="0" applyNumberFormat="1" applyFont="1" applyFill="1" applyBorder="1" applyAlignment="1">
      <alignment horizontal="center" vertical="center"/>
    </xf>
    <xf numFmtId="0" fontId="7" fillId="6" borderId="6" xfId="12" applyFill="1" applyBorder="1">
      <alignment horizontal="left" vertical="center" indent="2"/>
    </xf>
    <xf numFmtId="0" fontId="7" fillId="6" borderId="13" xfId="11" applyFill="1" applyBorder="1" applyProtection="1">
      <alignment horizontal="center" vertical="center"/>
      <protection locked="0"/>
    </xf>
    <xf numFmtId="9" fontId="4" fillId="6" borderId="17" xfId="2" applyFont="1" applyFill="1" applyBorder="1" applyAlignment="1" applyProtection="1">
      <alignment horizontal="center" vertical="center"/>
      <protection locked="0"/>
    </xf>
    <xf numFmtId="164" fontId="7" fillId="6" borderId="6" xfId="10" applyFill="1" applyBorder="1">
      <alignment horizontal="center" vertical="center"/>
    </xf>
    <xf numFmtId="0" fontId="7" fillId="6" borderId="2" xfId="12" applyFill="1">
      <alignment horizontal="left" vertical="center" indent="2"/>
    </xf>
    <xf numFmtId="0" fontId="7" fillId="6" borderId="15" xfId="11" applyFill="1" applyBorder="1" applyProtection="1">
      <alignment horizontal="center" vertical="center"/>
      <protection locked="0"/>
    </xf>
    <xf numFmtId="9" fontId="4" fillId="6" borderId="19" xfId="2" applyFont="1" applyFill="1" applyBorder="1" applyAlignment="1" applyProtection="1">
      <alignment horizontal="center" vertical="center"/>
      <protection locked="0"/>
    </xf>
    <xf numFmtId="164" fontId="7" fillId="6" borderId="2" xfId="10" applyFill="1">
      <alignment horizontal="center" vertical="center"/>
    </xf>
    <xf numFmtId="1" fontId="4" fillId="6" borderId="6" xfId="0" applyNumberFormat="1" applyFont="1" applyFill="1" applyBorder="1" applyAlignment="1">
      <alignment horizontal="center" vertical="center"/>
    </xf>
    <xf numFmtId="1" fontId="4" fillId="6" borderId="2" xfId="0" applyNumberFormat="1" applyFont="1" applyFill="1" applyBorder="1" applyAlignment="1">
      <alignment horizontal="center" vertical="center"/>
    </xf>
    <xf numFmtId="165" fontId="8" fillId="8" borderId="9" xfId="9" applyFont="1" applyFill="1" applyBorder="1" applyAlignment="1">
      <alignment horizontal="left" vertical="center"/>
    </xf>
    <xf numFmtId="14" fontId="4" fillId="5" borderId="21" xfId="0" applyNumberFormat="1" applyFont="1" applyFill="1" applyBorder="1" applyAlignment="1" applyProtection="1">
      <alignment horizontal="center" vertical="center"/>
      <protection locked="0"/>
    </xf>
    <xf numFmtId="1" fontId="4" fillId="11" borderId="10" xfId="0" applyNumberFormat="1" applyFont="1" applyFill="1" applyBorder="1" applyAlignment="1">
      <alignment horizontal="center" vertical="center"/>
    </xf>
    <xf numFmtId="14" fontId="4" fillId="11" borderId="12" xfId="0" applyNumberFormat="1" applyFont="1" applyFill="1" applyBorder="1" applyAlignment="1">
      <alignment horizontal="center" vertical="center"/>
    </xf>
    <xf numFmtId="14" fontId="4" fillId="2" borderId="18" xfId="0" applyNumberFormat="1" applyFont="1" applyFill="1" applyBorder="1" applyAlignment="1" applyProtection="1">
      <alignment horizontal="center" vertical="center"/>
      <protection locked="0"/>
    </xf>
    <xf numFmtId="14" fontId="4" fillId="2" borderId="22" xfId="0" applyNumberFormat="1" applyFont="1" applyFill="1" applyBorder="1" applyAlignment="1" applyProtection="1">
      <alignment horizontal="center" vertical="center"/>
      <protection locked="0"/>
    </xf>
    <xf numFmtId="14" fontId="4" fillId="9" borderId="23" xfId="0" applyNumberFormat="1" applyFont="1" applyFill="1" applyBorder="1" applyAlignment="1" applyProtection="1">
      <alignment horizontal="center" vertical="center"/>
      <protection locked="0"/>
    </xf>
    <xf numFmtId="14" fontId="4" fillId="9" borderId="18" xfId="0" applyNumberFormat="1" applyFont="1" applyFill="1" applyBorder="1" applyAlignment="1" applyProtection="1">
      <alignment horizontal="center" vertical="center"/>
      <protection locked="0"/>
    </xf>
    <xf numFmtId="14" fontId="4" fillId="9" borderId="22" xfId="0" applyNumberFormat="1" applyFont="1" applyFill="1" applyBorder="1" applyAlignment="1" applyProtection="1">
      <alignment horizontal="center" vertical="center"/>
      <protection locked="0"/>
    </xf>
    <xf numFmtId="14" fontId="4" fillId="6" borderId="23" xfId="0" applyNumberFormat="1" applyFont="1" applyFill="1" applyBorder="1" applyAlignment="1" applyProtection="1">
      <alignment horizontal="center" vertical="center"/>
      <protection locked="0"/>
    </xf>
    <xf numFmtId="14" fontId="4" fillId="6" borderId="19" xfId="0" applyNumberFormat="1" applyFont="1" applyFill="1" applyBorder="1" applyAlignment="1" applyProtection="1">
      <alignment horizontal="center" vertical="center"/>
      <protection locked="0"/>
    </xf>
    <xf numFmtId="14" fontId="4" fillId="14" borderId="0" xfId="0" applyNumberFormat="1" applyFont="1" applyFill="1" applyBorder="1" applyAlignment="1">
      <alignment horizontal="center" vertical="center"/>
    </xf>
    <xf numFmtId="14" fontId="4" fillId="14" borderId="20" xfId="0" applyNumberFormat="1" applyFont="1" applyFill="1" applyBorder="1" applyAlignment="1">
      <alignment horizontal="center" vertical="center"/>
    </xf>
    <xf numFmtId="14" fontId="4" fillId="2" borderId="23" xfId="0" applyNumberFormat="1" applyFont="1" applyFill="1" applyBorder="1" applyAlignment="1" applyProtection="1">
      <alignment horizontal="center" vertical="center"/>
      <protection locked="0"/>
    </xf>
    <xf numFmtId="1" fontId="4" fillId="11" borderId="24" xfId="0" applyNumberFormat="1" applyFont="1" applyFill="1" applyBorder="1" applyAlignment="1">
      <alignment horizontal="center" vertical="center"/>
    </xf>
    <xf numFmtId="14" fontId="4" fillId="14" borderId="24" xfId="0" applyNumberFormat="1" applyFont="1" applyFill="1" applyBorder="1" applyAlignment="1">
      <alignment horizontal="center" vertical="center"/>
    </xf>
    <xf numFmtId="14" fontId="4" fillId="5" borderId="25" xfId="0" applyNumberFormat="1" applyFont="1" applyFill="1" applyBorder="1" applyAlignment="1" applyProtection="1">
      <alignment horizontal="center" vertical="center"/>
      <protection locked="0"/>
    </xf>
    <xf numFmtId="1" fontId="4" fillId="5" borderId="0" xfId="0" applyNumberFormat="1" applyFont="1" applyFill="1" applyBorder="1" applyAlignment="1" applyProtection="1">
      <alignment horizontal="center" vertical="center"/>
      <protection locked="0"/>
    </xf>
    <xf numFmtId="0" fontId="7" fillId="5" borderId="20" xfId="11" applyFill="1" applyBorder="1" applyProtection="1">
      <alignment horizontal="center" vertical="center"/>
      <protection locked="0"/>
    </xf>
    <xf numFmtId="0" fontId="7" fillId="5" borderId="26" xfId="11" applyFill="1" applyBorder="1" applyProtection="1">
      <alignment horizontal="center" vertical="center"/>
      <protection locked="0"/>
    </xf>
    <xf numFmtId="9" fontId="4" fillId="5" borderId="20" xfId="2" applyFont="1" applyFill="1" applyBorder="1" applyAlignment="1" applyProtection="1">
      <alignment horizontal="center" vertical="center"/>
      <protection locked="0"/>
    </xf>
    <xf numFmtId="9" fontId="4" fillId="5" borderId="26" xfId="2" applyFont="1" applyFill="1" applyBorder="1" applyAlignment="1" applyProtection="1">
      <alignment horizontal="center" vertical="center"/>
      <protection locked="0"/>
    </xf>
    <xf numFmtId="0" fontId="9" fillId="8" borderId="10" xfId="5" applyFill="1" applyBorder="1" applyAlignment="1" applyProtection="1">
      <alignment horizontal="left"/>
    </xf>
    <xf numFmtId="0" fontId="0" fillId="0" borderId="0" xfId="0" applyBorder="1"/>
    <xf numFmtId="0" fontId="0" fillId="0" borderId="0" xfId="0" applyAlignment="1">
      <alignment horizontal="right"/>
    </xf>
    <xf numFmtId="0" fontId="0" fillId="0" borderId="4" xfId="0" applyBorder="1"/>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9">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8"/>
      <tableStyleElement type="headerRow" dxfId="7"/>
      <tableStyleElement type="totalRow" dxfId="6"/>
      <tableStyleElement type="firstColumn" dxfId="5"/>
      <tableStyleElement type="lastColumn" dxfId="4"/>
      <tableStyleElement type="firstRowStripe" dxfId="3"/>
      <tableStyleElement type="secondRowStripe" dxfId="2"/>
      <tableStyleElement type="firstColumnStripe" dxfId="1"/>
      <tableStyleElement type="secondColumnStripe"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rackerSheet">
    <pageSetUpPr fitToPage="1"/>
  </sheetPr>
  <dimension ref="A1:N29"/>
  <sheetViews>
    <sheetView showGridLines="0" tabSelected="1" showRuler="0" zoomScale="115" zoomScaleNormal="115" zoomScaleSheetLayoutView="115" zoomScalePageLayoutView="70" workbookViewId="0"/>
  </sheetViews>
  <sheetFormatPr defaultRowHeight="30" customHeight="1" x14ac:dyDescent="0.25"/>
  <cols>
    <col min="1" max="1" width="2.7109375" style="11" customWidth="1"/>
    <col min="2" max="2" width="36" customWidth="1"/>
    <col min="3" max="3" width="12" customWidth="1"/>
    <col min="4" max="4" width="10.7109375" customWidth="1"/>
    <col min="5" max="5" width="10.42578125" style="5" customWidth="1"/>
    <col min="6" max="6" width="15.7109375" customWidth="1"/>
    <col min="7" max="8" width="10.42578125" customWidth="1"/>
    <col min="9" max="9" width="11.85546875" customWidth="1"/>
    <col min="10" max="10" width="10.42578125" customWidth="1"/>
    <col min="11" max="11" width="2.5703125" customWidth="1"/>
    <col min="16" max="17" width="10.28515625"/>
  </cols>
  <sheetData>
    <row r="1" spans="1:14" ht="30" customHeight="1" thickBot="1" x14ac:dyDescent="0.45">
      <c r="A1" s="12" t="s">
        <v>8</v>
      </c>
      <c r="B1" t="s">
        <v>40</v>
      </c>
      <c r="C1" s="1"/>
      <c r="D1" s="2"/>
      <c r="E1" s="4"/>
      <c r="F1" s="10"/>
      <c r="G1" s="10"/>
      <c r="H1" s="10"/>
      <c r="I1" s="10"/>
      <c r="J1" s="10"/>
      <c r="K1" s="10"/>
    </row>
    <row r="2" spans="1:14" ht="30" customHeight="1" thickBot="1" x14ac:dyDescent="0.5">
      <c r="A2" s="11" t="s">
        <v>4</v>
      </c>
      <c r="B2" s="123" t="s">
        <v>73</v>
      </c>
      <c r="C2" s="124"/>
      <c r="D2" s="125" t="s">
        <v>44</v>
      </c>
      <c r="E2" s="125"/>
      <c r="F2" s="26">
        <f>G8+G14+G20+G23</f>
        <v>14</v>
      </c>
      <c r="G2" s="70"/>
      <c r="H2" s="70"/>
      <c r="I2" s="27"/>
      <c r="J2" s="27"/>
      <c r="K2" s="27"/>
    </row>
    <row r="3" spans="1:14" ht="30" customHeight="1" thickBot="1" x14ac:dyDescent="0.3">
      <c r="A3" s="11" t="s">
        <v>9</v>
      </c>
      <c r="B3" s="69" t="s">
        <v>42</v>
      </c>
      <c r="D3" s="125" t="s">
        <v>2</v>
      </c>
      <c r="E3" s="125"/>
      <c r="F3" s="61">
        <v>0</v>
      </c>
      <c r="G3" s="27"/>
      <c r="H3" s="27"/>
      <c r="I3" s="27"/>
      <c r="J3" s="27"/>
      <c r="K3" s="27"/>
    </row>
    <row r="4" spans="1:14" ht="30" customHeight="1" thickBot="1" x14ac:dyDescent="0.3">
      <c r="A4" s="12" t="s">
        <v>10</v>
      </c>
      <c r="B4" s="101">
        <v>44309</v>
      </c>
      <c r="D4" s="125" t="s">
        <v>43</v>
      </c>
      <c r="E4" s="125"/>
      <c r="F4" s="26">
        <f>J8+J14+J20+J23</f>
        <v>0</v>
      </c>
      <c r="N4" s="62"/>
    </row>
    <row r="5" spans="1:14" ht="15" customHeight="1" x14ac:dyDescent="0.25">
      <c r="A5" s="12" t="s">
        <v>11</v>
      </c>
      <c r="B5" s="126"/>
      <c r="C5" s="126"/>
      <c r="D5" s="126"/>
      <c r="E5" s="126"/>
      <c r="F5" s="126"/>
      <c r="G5" s="126"/>
      <c r="H5" s="126"/>
      <c r="I5" s="126"/>
      <c r="J5" s="126"/>
      <c r="K5" s="126"/>
    </row>
    <row r="6" spans="1:14" ht="30" customHeight="1" thickBot="1" x14ac:dyDescent="0.3">
      <c r="A6" s="12" t="s">
        <v>12</v>
      </c>
      <c r="B6" s="6" t="s">
        <v>3</v>
      </c>
      <c r="C6" s="7" t="s">
        <v>1</v>
      </c>
      <c r="D6" s="7" t="s">
        <v>0</v>
      </c>
      <c r="E6" s="7" t="s">
        <v>37</v>
      </c>
      <c r="F6" s="7" t="s">
        <v>38</v>
      </c>
      <c r="G6" s="7" t="s">
        <v>33</v>
      </c>
      <c r="H6" s="7" t="s">
        <v>70</v>
      </c>
      <c r="I6" s="7" t="s">
        <v>39</v>
      </c>
      <c r="J6" s="7" t="s">
        <v>41</v>
      </c>
      <c r="K6" s="7"/>
    </row>
    <row r="7" spans="1:14" ht="30" hidden="1" customHeight="1" thickBot="1" x14ac:dyDescent="0.3">
      <c r="A7" s="11" t="s">
        <v>7</v>
      </c>
      <c r="C7" s="14">
        <v>0</v>
      </c>
      <c r="E7"/>
    </row>
    <row r="8" spans="1:14" s="3" customFormat="1" ht="30" customHeight="1" thickBot="1" x14ac:dyDescent="0.3">
      <c r="A8" s="12" t="s">
        <v>13</v>
      </c>
      <c r="B8" s="30" t="s">
        <v>35</v>
      </c>
      <c r="C8" s="49"/>
      <c r="D8" s="50"/>
      <c r="E8" s="31">
        <f>Project_Start</f>
        <v>44309</v>
      </c>
      <c r="F8" s="47">
        <f>E8+7</f>
        <v>44316</v>
      </c>
      <c r="G8" s="32">
        <f>F8-E8</f>
        <v>7</v>
      </c>
      <c r="H8" s="115"/>
      <c r="I8" s="104"/>
      <c r="J8" s="67">
        <f>SUM(J9:J13)</f>
        <v>0</v>
      </c>
      <c r="K8" s="67"/>
    </row>
    <row r="9" spans="1:14" s="3" customFormat="1" ht="30" customHeight="1" thickBot="1" x14ac:dyDescent="0.3">
      <c r="A9" s="12" t="s">
        <v>14</v>
      </c>
      <c r="B9" s="28" t="s">
        <v>20</v>
      </c>
      <c r="C9" s="58" t="s">
        <v>31</v>
      </c>
      <c r="D9" s="52">
        <v>0.5</v>
      </c>
      <c r="E9" s="29">
        <f>E8</f>
        <v>44309</v>
      </c>
      <c r="F9" s="29">
        <f>E9+F80</f>
        <v>44309</v>
      </c>
      <c r="G9" s="21">
        <v>1</v>
      </c>
      <c r="H9" s="112">
        <f>Project_Start</f>
        <v>44309</v>
      </c>
      <c r="I9" s="114"/>
      <c r="J9" s="64" t="str">
        <f>IF(I9="","",I9-E9)</f>
        <v/>
      </c>
      <c r="K9" s="64"/>
    </row>
    <row r="10" spans="1:14" s="3" customFormat="1" ht="30" customHeight="1" thickBot="1" x14ac:dyDescent="0.3">
      <c r="A10" s="12" t="s">
        <v>15</v>
      </c>
      <c r="B10" s="17" t="s">
        <v>17</v>
      </c>
      <c r="C10" s="59" t="s">
        <v>31</v>
      </c>
      <c r="D10" s="53">
        <v>0.6</v>
      </c>
      <c r="E10" s="15">
        <f>F9</f>
        <v>44309</v>
      </c>
      <c r="F10" s="15">
        <f>E10+0</f>
        <v>44309</v>
      </c>
      <c r="G10" s="21">
        <v>1</v>
      </c>
      <c r="H10" s="112">
        <f>I9</f>
        <v>0</v>
      </c>
      <c r="I10" s="105"/>
      <c r="J10" s="64" t="str">
        <f>IF(I10="","",I10-I9)</f>
        <v/>
      </c>
      <c r="K10" s="64"/>
    </row>
    <row r="11" spans="1:14" s="3" customFormat="1" ht="30" customHeight="1" thickBot="1" x14ac:dyDescent="0.3">
      <c r="A11" s="11"/>
      <c r="B11" s="17" t="s">
        <v>18</v>
      </c>
      <c r="C11" s="59" t="s">
        <v>31</v>
      </c>
      <c r="D11" s="53">
        <v>0.6</v>
      </c>
      <c r="E11" s="15">
        <f>F10+1</f>
        <v>44310</v>
      </c>
      <c r="F11" s="15">
        <f>E11+0</f>
        <v>44310</v>
      </c>
      <c r="G11" s="21">
        <v>1</v>
      </c>
      <c r="H11" s="112">
        <f>I10</f>
        <v>0</v>
      </c>
      <c r="I11" s="105"/>
      <c r="J11" s="64" t="str">
        <f>IF(I11="","",I11-I10)</f>
        <v/>
      </c>
      <c r="K11" s="64"/>
    </row>
    <row r="12" spans="1:14" s="3" customFormat="1" ht="30" customHeight="1" thickBot="1" x14ac:dyDescent="0.3">
      <c r="A12" s="11"/>
      <c r="B12" s="17" t="s">
        <v>19</v>
      </c>
      <c r="C12" s="59" t="s">
        <v>30</v>
      </c>
      <c r="D12" s="53">
        <v>0.25</v>
      </c>
      <c r="E12" s="15">
        <f>F11+1</f>
        <v>44311</v>
      </c>
      <c r="F12" s="15">
        <f>E12+2</f>
        <v>44313</v>
      </c>
      <c r="G12" s="21">
        <f t="shared" ref="G12:G23" si="0">F12-E12</f>
        <v>2</v>
      </c>
      <c r="H12" s="112">
        <f>I11</f>
        <v>0</v>
      </c>
      <c r="I12" s="105"/>
      <c r="J12" s="64" t="str">
        <f>IF(I12="","",I12-I11)</f>
        <v/>
      </c>
      <c r="K12" s="64"/>
    </row>
    <row r="13" spans="1:14" s="3" customFormat="1" ht="30" customHeight="1" thickBot="1" x14ac:dyDescent="0.3">
      <c r="A13" s="11"/>
      <c r="B13" s="33" t="s">
        <v>21</v>
      </c>
      <c r="C13" s="71" t="s">
        <v>31</v>
      </c>
      <c r="D13" s="54"/>
      <c r="E13" s="34">
        <f>F12+0</f>
        <v>44313</v>
      </c>
      <c r="F13" s="34">
        <f>E13+3</f>
        <v>44316</v>
      </c>
      <c r="G13" s="35">
        <f t="shared" si="0"/>
        <v>3</v>
      </c>
      <c r="H13" s="112">
        <f>I12</f>
        <v>0</v>
      </c>
      <c r="I13" s="106"/>
      <c r="J13" s="64" t="str">
        <f>IF(I13="","",I13-I12)</f>
        <v/>
      </c>
      <c r="K13" s="64"/>
    </row>
    <row r="14" spans="1:14" s="3" customFormat="1" ht="30" customHeight="1" thickBot="1" x14ac:dyDescent="0.3">
      <c r="A14" s="12" t="s">
        <v>16</v>
      </c>
      <c r="B14" s="39" t="s">
        <v>32</v>
      </c>
      <c r="C14" s="24"/>
      <c r="D14" s="25"/>
      <c r="E14" s="40">
        <f>F13+1</f>
        <v>44317</v>
      </c>
      <c r="F14" s="41">
        <f>E14+5</f>
        <v>44322</v>
      </c>
      <c r="G14" s="42">
        <f t="shared" si="0"/>
        <v>5</v>
      </c>
      <c r="H14" s="103"/>
      <c r="I14" s="104"/>
      <c r="J14" s="67">
        <f>SUM(J15:J19)</f>
        <v>0</v>
      </c>
      <c r="K14" s="67"/>
    </row>
    <row r="15" spans="1:14" s="3" customFormat="1" ht="30" customHeight="1" thickBot="1" x14ac:dyDescent="0.3">
      <c r="A15" s="12"/>
      <c r="B15" s="36" t="s">
        <v>22</v>
      </c>
      <c r="C15" s="72" t="s">
        <v>57</v>
      </c>
      <c r="D15" s="55"/>
      <c r="E15" s="37">
        <f>F13+1</f>
        <v>44317</v>
      </c>
      <c r="F15" s="37">
        <f>E15+0</f>
        <v>44317</v>
      </c>
      <c r="G15" s="38">
        <v>1</v>
      </c>
      <c r="H15" s="112">
        <f>I13</f>
        <v>0</v>
      </c>
      <c r="I15" s="107"/>
      <c r="J15" s="65" t="str">
        <f>IF(I15="","",I15-I13)</f>
        <v/>
      </c>
      <c r="K15" s="65"/>
    </row>
    <row r="16" spans="1:14" s="3" customFormat="1" ht="30" customHeight="1" thickBot="1" x14ac:dyDescent="0.3">
      <c r="A16" s="11"/>
      <c r="B16" s="19" t="s">
        <v>23</v>
      </c>
      <c r="C16" s="73" t="s">
        <v>31</v>
      </c>
      <c r="D16" s="56"/>
      <c r="E16" s="20">
        <f>F15+1</f>
        <v>44318</v>
      </c>
      <c r="F16" s="20">
        <f>E16+1</f>
        <v>44319</v>
      </c>
      <c r="G16" s="22">
        <f t="shared" si="0"/>
        <v>1</v>
      </c>
      <c r="H16" s="112">
        <f>I15</f>
        <v>0</v>
      </c>
      <c r="I16" s="108"/>
      <c r="J16" s="65" t="str">
        <f>IF(I16="","",I16-I15)</f>
        <v/>
      </c>
      <c r="K16" s="65"/>
    </row>
    <row r="17" spans="1:11" s="3" customFormat="1" ht="30" customHeight="1" thickBot="1" x14ac:dyDescent="0.3">
      <c r="A17" s="11"/>
      <c r="B17" s="19" t="s">
        <v>24</v>
      </c>
      <c r="C17" s="73" t="s">
        <v>64</v>
      </c>
      <c r="D17" s="56"/>
      <c r="E17" s="20">
        <f>F16+1</f>
        <v>44320</v>
      </c>
      <c r="F17" s="20">
        <f>E17+0</f>
        <v>44320</v>
      </c>
      <c r="G17" s="22">
        <v>1</v>
      </c>
      <c r="H17" s="112">
        <f>I16</f>
        <v>0</v>
      </c>
      <c r="I17" s="108"/>
      <c r="J17" s="65" t="str">
        <f t="shared" ref="J17:J19" si="1">IF(I17="","",I17-I16)</f>
        <v/>
      </c>
      <c r="K17" s="65"/>
    </row>
    <row r="18" spans="1:11" s="3" customFormat="1" ht="30" customHeight="1" thickBot="1" x14ac:dyDescent="0.3">
      <c r="A18" s="11"/>
      <c r="B18" s="19" t="s">
        <v>25</v>
      </c>
      <c r="C18" s="73" t="s">
        <v>31</v>
      </c>
      <c r="D18" s="56"/>
      <c r="E18" s="20">
        <f>F17+1</f>
        <v>44321</v>
      </c>
      <c r="F18" s="20">
        <f>E18+0</f>
        <v>44321</v>
      </c>
      <c r="G18" s="22">
        <v>1</v>
      </c>
      <c r="H18" s="112">
        <f>I17</f>
        <v>0</v>
      </c>
      <c r="I18" s="108"/>
      <c r="J18" s="65" t="str">
        <f t="shared" si="1"/>
        <v/>
      </c>
      <c r="K18" s="65"/>
    </row>
    <row r="19" spans="1:11" s="3" customFormat="1" ht="30" customHeight="1" thickBot="1" x14ac:dyDescent="0.3">
      <c r="A19" s="11"/>
      <c r="B19" s="43" t="s">
        <v>26</v>
      </c>
      <c r="C19" s="60" t="s">
        <v>30</v>
      </c>
      <c r="D19" s="57"/>
      <c r="E19" s="44">
        <f>F18+1</f>
        <v>44322</v>
      </c>
      <c r="F19" s="44">
        <f>E19+0</f>
        <v>44322</v>
      </c>
      <c r="G19" s="45">
        <v>1</v>
      </c>
      <c r="H19" s="112">
        <f>I18</f>
        <v>0</v>
      </c>
      <c r="I19" s="109"/>
      <c r="J19" s="65" t="str">
        <f t="shared" si="1"/>
        <v/>
      </c>
      <c r="K19" s="65"/>
    </row>
    <row r="20" spans="1:11" s="3" customFormat="1" ht="30" customHeight="1" thickBot="1" x14ac:dyDescent="0.3">
      <c r="A20" s="11" t="s">
        <v>5</v>
      </c>
      <c r="B20" s="74" t="s">
        <v>34</v>
      </c>
      <c r="C20" s="75"/>
      <c r="D20" s="76"/>
      <c r="E20" s="77">
        <f>F19</f>
        <v>44322</v>
      </c>
      <c r="F20" s="78">
        <f>E20+1</f>
        <v>44323</v>
      </c>
      <c r="G20" s="79">
        <f t="shared" si="0"/>
        <v>1</v>
      </c>
      <c r="H20" s="103"/>
      <c r="I20" s="104"/>
      <c r="J20" s="80">
        <f>SUM(J21)</f>
        <v>0</v>
      </c>
      <c r="K20" s="80"/>
    </row>
    <row r="21" spans="1:11" s="3" customFormat="1" ht="30" customHeight="1" thickBot="1" x14ac:dyDescent="0.3">
      <c r="A21" s="11"/>
      <c r="B21" s="81" t="s">
        <v>72</v>
      </c>
      <c r="C21" s="119" t="s">
        <v>31</v>
      </c>
      <c r="D21" s="121"/>
      <c r="E21" s="82">
        <f>F19+1</f>
        <v>44323</v>
      </c>
      <c r="F21" s="82">
        <f>E21+0</f>
        <v>44323</v>
      </c>
      <c r="G21" s="83">
        <v>1</v>
      </c>
      <c r="H21" s="113">
        <f>I19</f>
        <v>0</v>
      </c>
      <c r="I21" s="102"/>
      <c r="J21" s="66" t="str">
        <f>IF(I21="","",I21-I19)</f>
        <v/>
      </c>
      <c r="K21" s="66"/>
    </row>
    <row r="22" spans="1:11" s="3" customFormat="1" ht="30" customHeight="1" thickBot="1" x14ac:dyDescent="0.3">
      <c r="A22" s="11"/>
      <c r="B22" s="81" t="s">
        <v>71</v>
      </c>
      <c r="C22" s="120" t="s">
        <v>31</v>
      </c>
      <c r="D22" s="122"/>
      <c r="E22" s="82">
        <v>44362</v>
      </c>
      <c r="F22" s="82">
        <v>44362</v>
      </c>
      <c r="G22" s="83">
        <v>1</v>
      </c>
      <c r="H22" s="116">
        <f>I21</f>
        <v>0</v>
      </c>
      <c r="I22" s="117"/>
      <c r="J22" s="118" t="str">
        <f>IF(I22="","",I22-I21)</f>
        <v/>
      </c>
      <c r="K22" s="118"/>
    </row>
    <row r="23" spans="1:11" s="3" customFormat="1" ht="30" customHeight="1" thickBot="1" x14ac:dyDescent="0.3">
      <c r="A23" s="11" t="s">
        <v>5</v>
      </c>
      <c r="B23" s="84" t="s">
        <v>36</v>
      </c>
      <c r="C23" s="85"/>
      <c r="D23" s="86"/>
      <c r="E23" s="87">
        <f>F20+1</f>
        <v>44324</v>
      </c>
      <c r="F23" s="88">
        <f>E23+1</f>
        <v>44325</v>
      </c>
      <c r="G23" s="89">
        <f t="shared" si="0"/>
        <v>1</v>
      </c>
      <c r="H23" s="103"/>
      <c r="I23" s="104"/>
      <c r="J23" s="90">
        <f>SUM(J24:J25)</f>
        <v>0</v>
      </c>
      <c r="K23" s="90"/>
    </row>
    <row r="24" spans="1:11" s="3" customFormat="1" ht="30" customHeight="1" thickBot="1" x14ac:dyDescent="0.3">
      <c r="A24" s="11"/>
      <c r="B24" s="91" t="s">
        <v>27</v>
      </c>
      <c r="C24" s="92" t="s">
        <v>29</v>
      </c>
      <c r="D24" s="93"/>
      <c r="E24" s="94">
        <f>F21+1</f>
        <v>44324</v>
      </c>
      <c r="F24" s="94">
        <f>E24+0</f>
        <v>44324</v>
      </c>
      <c r="G24" s="99">
        <v>1</v>
      </c>
      <c r="H24" s="112">
        <f>I21</f>
        <v>0</v>
      </c>
      <c r="I24" s="110"/>
      <c r="J24" s="68" t="str">
        <f>IF(I24="","",I24-I21)</f>
        <v/>
      </c>
      <c r="K24" s="68"/>
    </row>
    <row r="25" spans="1:11" s="3" customFormat="1" ht="30" customHeight="1" thickBot="1" x14ac:dyDescent="0.3">
      <c r="A25" s="11"/>
      <c r="B25" s="95" t="s">
        <v>28</v>
      </c>
      <c r="C25" s="96" t="s">
        <v>29</v>
      </c>
      <c r="D25" s="97"/>
      <c r="E25" s="98">
        <f>F24+1</f>
        <v>44325</v>
      </c>
      <c r="F25" s="46">
        <f>E25+0</f>
        <v>44325</v>
      </c>
      <c r="G25" s="100">
        <v>1</v>
      </c>
      <c r="H25" s="112">
        <f>I24</f>
        <v>0</v>
      </c>
      <c r="I25" s="111"/>
      <c r="J25" s="68" t="str">
        <f t="shared" ref="J25" si="2">IF(I25="","",I25-I24)</f>
        <v/>
      </c>
      <c r="K25" s="68"/>
    </row>
    <row r="26" spans="1:11" s="3" customFormat="1" ht="30" customHeight="1" thickBot="1" x14ac:dyDescent="0.3">
      <c r="A26" s="11" t="s">
        <v>6</v>
      </c>
      <c r="B26" s="18"/>
      <c r="C26" s="51"/>
      <c r="D26" s="23"/>
      <c r="E26" s="16"/>
      <c r="F26" s="16"/>
      <c r="G26" s="16"/>
      <c r="H26" s="48"/>
      <c r="I26" s="48"/>
      <c r="J26" s="48"/>
      <c r="K26" s="48"/>
    </row>
    <row r="28" spans="1:11" ht="30" customHeight="1" x14ac:dyDescent="0.25">
      <c r="C28" s="8"/>
      <c r="F28" s="13"/>
      <c r="G28" s="13"/>
      <c r="H28" s="13"/>
      <c r="I28" s="13"/>
      <c r="J28" s="13"/>
      <c r="K28" s="13"/>
    </row>
    <row r="29" spans="1:11" ht="30" customHeight="1" x14ac:dyDescent="0.25">
      <c r="C29" s="9"/>
    </row>
  </sheetData>
  <sheetProtection selectLockedCells="1" sort="0"/>
  <mergeCells count="4">
    <mergeCell ref="D3:E3"/>
    <mergeCell ref="B5:K5"/>
    <mergeCell ref="D2:E2"/>
    <mergeCell ref="D4:E4"/>
  </mergeCells>
  <conditionalFormatting sqref="D20 D23 D7:D14 D26">
    <cfRule type="dataBar" priority="1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D15:D19">
    <cfRule type="dataBar" priority="4">
      <dataBar>
        <cfvo type="num" val="0"/>
        <cfvo type="num" val="1"/>
        <color theme="0" tint="-0.249977111117893"/>
      </dataBar>
      <extLst>
        <ext xmlns:x14="http://schemas.microsoft.com/office/spreadsheetml/2009/9/main" uri="{B025F937-C7B1-47D3-B67F-A62EFF666E3E}">
          <x14:id>{EF2879E4-7816-4E92-8942-79C0D4F89357}</x14:id>
        </ext>
      </extLst>
    </cfRule>
  </conditionalFormatting>
  <conditionalFormatting sqref="D21:D22">
    <cfRule type="dataBar" priority="3">
      <dataBar>
        <cfvo type="num" val="0"/>
        <cfvo type="num" val="1"/>
        <color theme="0" tint="-0.249977111117893"/>
      </dataBar>
      <extLst>
        <ext xmlns:x14="http://schemas.microsoft.com/office/spreadsheetml/2009/9/main" uri="{B025F937-C7B1-47D3-B67F-A62EFF666E3E}">
          <x14:id>{7D81975C-82AD-4ADE-9F89-03EC5C3223F4}</x14:id>
        </ext>
      </extLst>
    </cfRule>
  </conditionalFormatting>
  <conditionalFormatting sqref="D24:D25">
    <cfRule type="dataBar" priority="2">
      <dataBar>
        <cfvo type="num" val="0"/>
        <cfvo type="num" val="1"/>
        <color theme="0" tint="-0.249977111117893"/>
      </dataBar>
      <extLst>
        <ext xmlns:x14="http://schemas.microsoft.com/office/spreadsheetml/2009/9/main" uri="{B025F937-C7B1-47D3-B67F-A62EFF666E3E}">
          <x14:id>{4766C283-3445-4EC0-AE29-812A7F6A9448}</x14:id>
        </ext>
      </extLst>
    </cfRule>
  </conditionalFormatting>
  <dataValidations count="1">
    <dataValidation type="whole" operator="greaterThanOrEqual" allowBlank="1" showInputMessage="1" promptTitle="Display Week" prompt="Changing this number will scroll the Gantt Chart view." sqref="F3" xr:uid="{00000000-0002-0000-0000-000000000000}">
      <formula1>1</formula1>
    </dataValidation>
  </dataValidations>
  <printOptions horizontalCentered="1"/>
  <pageMargins left="0.35" right="0.35" top="0.35" bottom="0.5" header="0.3" footer="0.3"/>
  <pageSetup scale="93" fitToHeight="0" orientation="landscape" r:id="rId1"/>
  <headerFooter differentFirst="1" scaleWithDoc="0">
    <oddFooter>Page &amp;P of &amp;N</oddFooter>
  </headerFooter>
  <ignoredErrors>
    <ignoredError sqref="E11 E13 F16 F23 E15 J23 F20:F21" formula="1"/>
    <ignoredError sqref="J9:J13 J15:J19 J21:J22 J24:J25" unlocked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D20 D23 D7:D14 D26</xm:sqref>
        </x14:conditionalFormatting>
        <x14:conditionalFormatting xmlns:xm="http://schemas.microsoft.com/office/excel/2006/main">
          <x14:cfRule type="dataBar" id="{EF2879E4-7816-4E92-8942-79C0D4F89357}">
            <x14:dataBar minLength="0" maxLength="100" gradient="0">
              <x14:cfvo type="num">
                <xm:f>0</xm:f>
              </x14:cfvo>
              <x14:cfvo type="num">
                <xm:f>1</xm:f>
              </x14:cfvo>
              <x14:negativeFillColor rgb="FFFF0000"/>
              <x14:axisColor rgb="FF000000"/>
            </x14:dataBar>
          </x14:cfRule>
          <xm:sqref>D15:D19</xm:sqref>
        </x14:conditionalFormatting>
        <x14:conditionalFormatting xmlns:xm="http://schemas.microsoft.com/office/excel/2006/main">
          <x14:cfRule type="dataBar" id="{7D81975C-82AD-4ADE-9F89-03EC5C3223F4}">
            <x14:dataBar minLength="0" maxLength="100" gradient="0">
              <x14:cfvo type="num">
                <xm:f>0</xm:f>
              </x14:cfvo>
              <x14:cfvo type="num">
                <xm:f>1</xm:f>
              </x14:cfvo>
              <x14:negativeFillColor rgb="FFFF0000"/>
              <x14:axisColor rgb="FF000000"/>
            </x14:dataBar>
          </x14:cfRule>
          <xm:sqref>D21:D22</xm:sqref>
        </x14:conditionalFormatting>
        <x14:conditionalFormatting xmlns:xm="http://schemas.microsoft.com/office/excel/2006/main">
          <x14:cfRule type="dataBar" id="{4766C283-3445-4EC0-AE29-812A7F6A9448}">
            <x14:dataBar minLength="0" maxLength="100" gradient="0">
              <x14:cfvo type="num">
                <xm:f>0</xm:f>
              </x14:cfvo>
              <x14:cfvo type="num">
                <xm:f>1</xm:f>
              </x14:cfvo>
              <x14:negativeFillColor rgb="FFFF0000"/>
              <x14:axisColor rgb="FF000000"/>
            </x14:dataBar>
          </x14:cfRule>
          <xm:sqref>D24:D25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180E-311D-49E3-B5AA-C244D799DF45}">
  <sheetPr codeName="Sheet2"/>
  <dimension ref="A1:D10"/>
  <sheetViews>
    <sheetView workbookViewId="0">
      <selection activeCell="C21" sqref="C21"/>
    </sheetView>
  </sheetViews>
  <sheetFormatPr defaultRowHeight="15" x14ac:dyDescent="0.25"/>
  <cols>
    <col min="1" max="1" width="23.5703125" customWidth="1"/>
    <col min="3" max="3" width="14.42578125" customWidth="1"/>
  </cols>
  <sheetData>
    <row r="1" spans="1:4" x14ac:dyDescent="0.25">
      <c r="A1" s="63" t="s">
        <v>45</v>
      </c>
      <c r="B1" s="63" t="s">
        <v>46</v>
      </c>
      <c r="C1" s="63" t="s">
        <v>47</v>
      </c>
      <c r="D1" s="63" t="s">
        <v>65</v>
      </c>
    </row>
    <row r="2" spans="1:4" x14ac:dyDescent="0.25">
      <c r="A2" t="s">
        <v>48</v>
      </c>
      <c r="B2" t="s">
        <v>29</v>
      </c>
      <c r="C2" t="s">
        <v>49</v>
      </c>
      <c r="D2" t="s">
        <v>66</v>
      </c>
    </row>
    <row r="3" spans="1:4" x14ac:dyDescent="0.25">
      <c r="A3" t="s">
        <v>50</v>
      </c>
      <c r="B3" t="s">
        <v>30</v>
      </c>
      <c r="C3" t="s">
        <v>51</v>
      </c>
      <c r="D3" t="s">
        <v>66</v>
      </c>
    </row>
    <row r="4" spans="1:4" x14ac:dyDescent="0.25">
      <c r="A4" t="s">
        <v>52</v>
      </c>
      <c r="B4" t="s">
        <v>31</v>
      </c>
      <c r="C4" t="s">
        <v>53</v>
      </c>
      <c r="D4" t="s">
        <v>67</v>
      </c>
    </row>
    <row r="5" spans="1:4" x14ac:dyDescent="0.25">
      <c r="A5" t="s">
        <v>54</v>
      </c>
      <c r="B5" t="s">
        <v>55</v>
      </c>
      <c r="C5" t="s">
        <v>53</v>
      </c>
      <c r="D5" t="s">
        <v>66</v>
      </c>
    </row>
    <row r="6" spans="1:4" x14ac:dyDescent="0.25">
      <c r="A6" t="s">
        <v>56</v>
      </c>
      <c r="B6" t="s">
        <v>57</v>
      </c>
      <c r="C6" t="s">
        <v>53</v>
      </c>
      <c r="D6" t="s">
        <v>66</v>
      </c>
    </row>
    <row r="7" spans="1:4" x14ac:dyDescent="0.25">
      <c r="A7" t="s">
        <v>58</v>
      </c>
      <c r="B7" t="s">
        <v>59</v>
      </c>
      <c r="C7" t="s">
        <v>60</v>
      </c>
      <c r="D7" t="s">
        <v>66</v>
      </c>
    </row>
    <row r="8" spans="1:4" x14ac:dyDescent="0.25">
      <c r="A8" t="s">
        <v>61</v>
      </c>
      <c r="B8" t="s">
        <v>62</v>
      </c>
      <c r="C8" t="s">
        <v>60</v>
      </c>
      <c r="D8" t="s">
        <v>66</v>
      </c>
    </row>
    <row r="9" spans="1:4" x14ac:dyDescent="0.25">
      <c r="A9" t="s">
        <v>63</v>
      </c>
      <c r="B9" t="s">
        <v>64</v>
      </c>
      <c r="C9" t="s">
        <v>53</v>
      </c>
      <c r="D9" t="s">
        <v>66</v>
      </c>
    </row>
    <row r="10" spans="1:4" x14ac:dyDescent="0.25">
      <c r="A10" t="s">
        <v>68</v>
      </c>
      <c r="B10" t="s">
        <v>69</v>
      </c>
      <c r="C10" t="s">
        <v>60</v>
      </c>
      <c r="D10"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Plan Modeling Tracker</vt:lpstr>
      <vt:lpstr>Names</vt:lpstr>
      <vt:lpstr>'Plan Modeling Tracker'!Print_Area</vt:lpstr>
      <vt:lpstr>Project_Start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MESHER2RDP</dc:creator>
  <dc:description/>
  <cp:lastModifiedBy>Chris Chan</cp:lastModifiedBy>
  <dcterms:created xsi:type="dcterms:W3CDTF">2021-06-02T04:18:10Z</dcterms:created>
  <dcterms:modified xsi:type="dcterms:W3CDTF">2022-07-13T18:11:21Z</dcterms:modified>
</cp:coreProperties>
</file>